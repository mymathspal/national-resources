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W:\GitHub\national-resources\5 - National Competition Test Projects\2026\2026 - National Qualifiers Stage\"/>
    </mc:Choice>
  </mc:AlternateContent>
  <xr:revisionPtr revIDLastSave="0" documentId="13_ncr:1_{2D9DE2B5-F5AC-48F5-B55E-477C55E850B6}" xr6:coauthVersionLast="47" xr6:coauthVersionMax="47" xr10:uidLastSave="{00000000-0000-0000-0000-000000000000}"/>
  <bookViews>
    <workbookView xWindow="5484" yWindow="1296" windowWidth="34560" windowHeight="18240" activeTab="1" xr2:uid="{00000000-000D-0000-FFFF-FFFF00000000}"/>
  </bookViews>
  <sheets>
    <sheet name="MarkingScheme" sheetId="1" r:id="rId1"/>
    <sheet name="Day1" sheetId="2" r:id="rId2"/>
    <sheet name="Final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0" i="2" l="1"/>
  <c r="M5" i="6" s="1"/>
  <c r="E73" i="2"/>
  <c r="L5" i="6" s="1"/>
  <c r="E66" i="2"/>
  <c r="K5" i="6" s="1"/>
  <c r="E56" i="2"/>
  <c r="J5" i="6" s="1"/>
  <c r="E49" i="2"/>
  <c r="I5" i="6" s="1"/>
  <c r="E40" i="2"/>
  <c r="H5" i="6" s="1"/>
  <c r="E34" i="2"/>
  <c r="G5" i="6" s="1"/>
  <c r="E27" i="2"/>
  <c r="F5" i="6" s="1"/>
  <c r="E18" i="2"/>
  <c r="E5" i="6" s="1"/>
  <c r="E10" i="2"/>
  <c r="E82" i="2" s="1"/>
  <c r="E83" i="2" s="1"/>
  <c r="D81" i="1"/>
  <c r="D74" i="1"/>
  <c r="D67" i="1"/>
  <c r="D57" i="1"/>
  <c r="D50" i="1"/>
  <c r="D41" i="1"/>
  <c r="D35" i="1"/>
  <c r="D28" i="1"/>
  <c r="D19" i="1"/>
  <c r="D11" i="1"/>
  <c r="D82" i="1" s="1"/>
  <c r="D5" i="6" l="1"/>
  <c r="N5" i="6" s="1"/>
  <c r="P5" i="6" l="1"/>
  <c r="O5" i="6"/>
</calcChain>
</file>

<file path=xl/sharedStrings.xml><?xml version="1.0" encoding="utf-8"?>
<sst xmlns="http://schemas.openxmlformats.org/spreadsheetml/2006/main" count="305" uniqueCount="177">
  <si>
    <t>WSUK Web Development - Stage 2 - Marking Scheme</t>
  </si>
  <si>
    <t>Total: 100 marks. All criteria are Measurement (M).</t>
  </si>
  <si>
    <t>Task</t>
  </si>
  <si>
    <t>ID</t>
  </si>
  <si>
    <t>Criterion</t>
  </si>
  <si>
    <t>Max</t>
  </si>
  <si>
    <t>Task 01 - Fare Class (L1)</t>
  </si>
  <si>
    <t>M1</t>
  </si>
  <si>
    <t>.fare card has a visible hover effect</t>
  </si>
  <si>
    <t>M2</t>
  </si>
  <si>
    <t>.fare-cta button has a visible hover effect</t>
  </si>
  <si>
    <t>M3</t>
  </si>
  <si>
    <t>Clicking a 'Choose' button adds the selected class to that card</t>
  </si>
  <si>
    <t>M4</t>
  </si>
  <si>
    <t>Only one card is selected at a time (previous selection cleared)</t>
  </si>
  <si>
    <t>M5</t>
  </si>
  <si>
    <t>.fare.selected is visually distinct from unselected cards</t>
  </si>
  <si>
    <t>Task 01 subtotal</t>
  </si>
  <si>
    <t>Task 02 - SQL: Revenue by Country (L3)</t>
  </si>
  <si>
    <t>M6</t>
  </si>
  <si>
    <t>Returns two columns mapping to pass_country and total_revenue</t>
  </si>
  <si>
    <t>M7</t>
  </si>
  <si>
    <t>Filters by booking_status = 'completed'</t>
  </si>
  <si>
    <t>M8</t>
  </si>
  <si>
    <t>Filters bookings to year 2024 only</t>
  </si>
  <si>
    <t>M9</t>
  </si>
  <si>
    <t>Excludes countries with total revenue &lt;= 1000 (HAVING)</t>
  </si>
  <si>
    <t>M10</t>
  </si>
  <si>
    <t>Sorted by total_revenue DESC then pass_country ASC</t>
  </si>
  <si>
    <t>M11</t>
  </si>
  <si>
    <t>total_revenue rounded to 2 decimal places</t>
  </si>
  <si>
    <t>Task 02 subtotal</t>
  </si>
  <si>
    <t>Task 03 - Destination Search (L2)</t>
  </si>
  <si>
    <t>M12</t>
  </si>
  <si>
    <t>List filters live on every input event</t>
  </si>
  <si>
    <t>M13</t>
  </si>
  <si>
    <t>Matching is case-insensitive</t>
  </si>
  <si>
    <t>M14</t>
  </si>
  <si>
    <t>Matching is substring-based (not just prefix)</t>
  </si>
  <si>
    <t>M15</t>
  </si>
  <si>
    <t>Visible items use highlight(name, query) to render the match</t>
  </si>
  <si>
    <t>M16</t>
  </si>
  <si>
    <t>Non-matching items are hidden (e.g. el.hidden = true)</t>
  </si>
  <si>
    <t>M17</t>
  </si>
  <si>
    <t>#noResults shown when no items match, hidden otherwise</t>
  </si>
  <si>
    <t>M18</t>
  </si>
  <si>
    <t>Empty input shows all items with no highlight</t>
  </si>
  <si>
    <t>Task 03 subtotal</t>
  </si>
  <si>
    <t>Task 04 - Flight Load Bars (L1)</t>
  </si>
  <si>
    <t>M19</t>
  </si>
  <si>
    <t>Each bar shows a visible track and fill</t>
  </si>
  <si>
    <t>M20</t>
  </si>
  <si>
    <t>Each fill animates from 0 to its target percentage on load</t>
  </si>
  <si>
    <t>M21</t>
  </si>
  <si>
    <t>The animation does not loop / repeat</t>
  </si>
  <si>
    <t>M22</t>
  </si>
  <si>
    <t>Each percentage label is visible on the bar</t>
  </si>
  <si>
    <t>M23</t>
  </si>
  <si>
    <t>Fill colour or gradient is distinct from the track</t>
  </si>
  <si>
    <t>Task 04 subtotal</t>
  </si>
  <si>
    <t>Task 05 - Flight Review (L1)</t>
  </si>
  <si>
    <t>M24</t>
  </si>
  <si>
    <t>Character count is correct (includes spaces and newlines)</t>
  </si>
  <si>
    <t>M25</t>
  </si>
  <si>
    <t>Word count is correct (whitespace-separated)</t>
  </si>
  <si>
    <t>M26</t>
  </si>
  <si>
    <t>Counts update live on every keystroke</t>
  </si>
  <si>
    <t>M27</t>
  </si>
  <si>
    <t>Empty textarea shows 0 / 0</t>
  </si>
  <si>
    <t>Task 05 subtotal</t>
  </si>
  <si>
    <t>Task 06 - Flight Rating (L2)</t>
  </si>
  <si>
    <t>M28</t>
  </si>
  <si>
    <t>Hover highlights the hovered star and all stars before it</t>
  </si>
  <si>
    <t>M29</t>
  </si>
  <si>
    <t>Mouse leaving the stars container reverts display to current rating</t>
  </si>
  <si>
    <t>M30</t>
  </si>
  <si>
    <t>Click sets the persistent rating (stars remain highlighted up to value)</t>
  </si>
  <si>
    <t>M31</t>
  </si>
  <si>
    <t>Label shows current rating in the form N / 5</t>
  </si>
  <si>
    <t>M32</t>
  </si>
  <si>
    <t>Initial state on load is 0 / 5 with no highlighted stars</t>
  </si>
  <si>
    <t>M33</t>
  </si>
  <si>
    <t>Re-clicking a different star updates the rating correctly</t>
  </si>
  <si>
    <t>M34</t>
  </si>
  <si>
    <t>Hovering does not change the persistent rating (only the display)</t>
  </si>
  <si>
    <t>Task 06 subtotal</t>
  </si>
  <si>
    <t>Task 07 - Helper Functions (L2)</t>
  </si>
  <si>
    <t>M35</t>
  </si>
  <si>
    <t>capitalize correct (2 tests)</t>
  </si>
  <si>
    <t>M36</t>
  </si>
  <si>
    <t>clamp correct (2 tests)</t>
  </si>
  <si>
    <t>M37</t>
  </si>
  <si>
    <t>unique correct (2 tests)</t>
  </si>
  <si>
    <t>M38</t>
  </si>
  <si>
    <t>digitSum correct (2 tests)</t>
  </si>
  <si>
    <t>M39</t>
  </si>
  <si>
    <t>chunk correct (2 tests)</t>
  </si>
  <si>
    <t>Task 07 subtotal</t>
  </si>
  <si>
    <t>Task 08 - Flight Seat Selection (L3)</t>
  </si>
  <si>
    <t>M40</t>
  </si>
  <si>
    <t>Clicking an available seat toggles the selected class on it</t>
  </si>
  <si>
    <t>M41</t>
  </si>
  <si>
    <t>Sold seats cannot become selected (clicks ignored)</t>
  </si>
  <si>
    <t>M42</t>
  </si>
  <si>
    <t>Initial state shows 0, £0, —</t>
  </si>
  <si>
    <t>M43</t>
  </si>
  <si>
    <t>#selectedCount reflects current selection count</t>
  </si>
  <si>
    <t>M44</t>
  </si>
  <si>
    <t>#totalPrice is the correct sum of data-price, formatted £N</t>
  </si>
  <si>
    <t>M45</t>
  </si>
  <si>
    <t>#mostExpensive is £N for max data-price among selected, — when none</t>
  </si>
  <si>
    <t>M46</t>
  </si>
  <si>
    <t>All three stats update reactively on every click</t>
  </si>
  <si>
    <t>M47</t>
  </si>
  <si>
    <t>Re-clicking a selected seat deselects it and stats update accordingly</t>
  </si>
  <si>
    <t>Task 08 subtotal</t>
  </si>
  <si>
    <t>Task 09 - SQL: Filter &amp; Sort (L1)</t>
  </si>
  <si>
    <t>M48</t>
  </si>
  <si>
    <t>Returns three columns mapping to fare_id, fare_name, fare_base_price</t>
  </si>
  <si>
    <t>M49</t>
  </si>
  <si>
    <t>Filter fare_category = 'Seats' is applied</t>
  </si>
  <si>
    <t>M50</t>
  </si>
  <si>
    <t>Filter fare_base_price &lt; 500 is applied</t>
  </si>
  <si>
    <t>M51</t>
  </si>
  <si>
    <t>Sorted by fare_base_price ascending</t>
  </si>
  <si>
    <t>M52</t>
  </si>
  <si>
    <t>Result rows match expected exactly (no extras, no missing)</t>
  </si>
  <si>
    <t>Task 09 subtotal</t>
  </si>
  <si>
    <t>Task 10 - Loading Animation (L1)</t>
  </si>
  <si>
    <t>M53</t>
  </si>
  <si>
    <t>All three clouds drift horizontally across the sky</t>
  </si>
  <si>
    <t>M54</t>
  </si>
  <si>
    <t>Cloud animations are staggered (not moving in unison)</t>
  </si>
  <si>
    <t>M55</t>
  </si>
  <si>
    <t>Plane has an ongoing flight animation (bob, tilt, or both)</t>
  </si>
  <si>
    <t>M56</t>
  </si>
  <si>
    <t>Loading text has an animation (pulse, fade, etc.)</t>
  </si>
  <si>
    <t>M57</t>
  </si>
  <si>
    <t>All animations run continuously and loop without stopping</t>
  </si>
  <si>
    <t>Task 10 subtotal</t>
  </si>
  <si>
    <t>GRAND TOTAL</t>
  </si>
  <si>
    <t>Notes</t>
  </si>
  <si>
    <t>Task 01 total</t>
  </si>
  <si>
    <t>Task 02 total</t>
  </si>
  <si>
    <t>Task 03 total</t>
  </si>
  <si>
    <t>Task 04 total</t>
  </si>
  <si>
    <t>Task 05 total</t>
  </si>
  <si>
    <t>Task 06 total</t>
  </si>
  <si>
    <t>Task 07 total</t>
  </si>
  <si>
    <t>Task 08 total</t>
  </si>
  <si>
    <t>Task 09 total</t>
  </si>
  <si>
    <t>Task 10 total</t>
  </si>
  <si>
    <t>FINAL SCORE</t>
  </si>
  <si>
    <t>FINAL %</t>
  </si>
  <si>
    <t>100%</t>
  </si>
  <si>
    <t>WSUK Stage 2 - Final Summary (4 days x 10 competitors)</t>
  </si>
  <si>
    <t>Day</t>
  </si>
  <si>
    <t>Code</t>
  </si>
  <si>
    <t>Name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</si>
  <si>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</si>
  <si>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</si>
  <si>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</si>
  <si>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</si>
  <si>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</si>
  <si>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</si>
  <si>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</si>
  <si>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</si>
  <si>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</si>
  <si>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</si>
  <si>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Total</t>
  </si>
  <si>
    <t>%</t>
  </si>
  <si>
    <t>Rank</t>
  </si>
  <si>
    <t>Max marks</t>
  </si>
  <si>
    <t>Day 1</t>
  </si>
  <si>
    <t>WSUK Stage 2</t>
  </si>
  <si>
    <t>Competitor</t>
  </si>
  <si>
    <t>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</si>
</sst>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2E7D32"/>
      </patternFill>
    </fill>
    <fill>
      <patternFill patternType="solid">
        <fgColor rgb="FFC8E6C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4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2" fontId="5" fillId="6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4" fillId="7" borderId="1" xfId="0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/>
    <xf numFmtId="0" fontId="2" fillId="0" borderId="1" xfId="0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7" borderId="1" xfId="0" applyFont="1" applyFill="1" applyBorder="1" applyAlignment="1">
      <alignment horizontal="left" vertical="center" wrapText="1"/>
    </xf>
    <xf numFmtId="0" fontId="0" fillId="0" borderId="1" xfId="0" applyBorder="1"/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workbookViewId="0">
      <pane ySplit="4" topLeftCell="A5" activePane="bottomLeft" state="frozen"/>
      <selection pane="bottomLeft" sqref="A1:D1"/>
    </sheetView>
  </sheetViews>
  <sheetFormatPr defaultRowHeight="14.4" x14ac:dyDescent="0.3"/>
  <cols>
    <col min="1" max="1" width="12" customWidth="1"/>
    <col min="2" max="2" width="8" customWidth="1"/>
    <col min="3" max="3" width="80" customWidth="1"/>
    <col min="4" max="4" width="10" customWidth="1"/>
  </cols>
  <sheetData>
    <row r="1" spans="1:4" ht="26.1" customHeight="1" x14ac:dyDescent="0.3">
      <c r="A1" s="21" t="s">
        <v>0</v>
      </c>
      <c r="B1" s="22"/>
      <c r="C1" s="22"/>
      <c r="D1" s="22"/>
    </row>
    <row r="2" spans="1:4" x14ac:dyDescent="0.3">
      <c r="A2" s="28" t="s">
        <v>1</v>
      </c>
      <c r="B2" s="22"/>
      <c r="C2" s="22"/>
      <c r="D2" s="22"/>
    </row>
    <row r="4" spans="1:4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3">
      <c r="A5" s="27" t="s">
        <v>6</v>
      </c>
      <c r="B5" s="24"/>
      <c r="C5" s="24"/>
      <c r="D5" s="3">
        <v>8</v>
      </c>
    </row>
    <row r="6" spans="1:4" x14ac:dyDescent="0.3">
      <c r="A6" s="2"/>
      <c r="B6" s="4" t="s">
        <v>7</v>
      </c>
      <c r="C6" s="5" t="s">
        <v>8</v>
      </c>
      <c r="D6" s="6">
        <v>2</v>
      </c>
    </row>
    <row r="7" spans="1:4" x14ac:dyDescent="0.3">
      <c r="A7" s="2"/>
      <c r="B7" s="4" t="s">
        <v>9</v>
      </c>
      <c r="C7" s="5" t="s">
        <v>10</v>
      </c>
      <c r="D7" s="6">
        <v>2</v>
      </c>
    </row>
    <row r="8" spans="1:4" x14ac:dyDescent="0.3">
      <c r="A8" s="2"/>
      <c r="B8" s="4" t="s">
        <v>11</v>
      </c>
      <c r="C8" s="5" t="s">
        <v>12</v>
      </c>
      <c r="D8" s="6">
        <v>1.5</v>
      </c>
    </row>
    <row r="9" spans="1:4" x14ac:dyDescent="0.3">
      <c r="A9" s="2"/>
      <c r="B9" s="4" t="s">
        <v>13</v>
      </c>
      <c r="C9" s="5" t="s">
        <v>14</v>
      </c>
      <c r="D9" s="6">
        <v>1</v>
      </c>
    </row>
    <row r="10" spans="1:4" x14ac:dyDescent="0.3">
      <c r="A10" s="2"/>
      <c r="B10" s="4" t="s">
        <v>15</v>
      </c>
      <c r="C10" s="5" t="s">
        <v>16</v>
      </c>
      <c r="D10" s="6">
        <v>1.5</v>
      </c>
    </row>
    <row r="11" spans="1:4" x14ac:dyDescent="0.3">
      <c r="A11" s="25" t="s">
        <v>17</v>
      </c>
      <c r="B11" s="24"/>
      <c r="C11" s="24"/>
      <c r="D11" s="7">
        <f>SUM(D6:D10)</f>
        <v>8</v>
      </c>
    </row>
    <row r="12" spans="1:4" x14ac:dyDescent="0.3">
      <c r="A12" s="27" t="s">
        <v>18</v>
      </c>
      <c r="B12" s="24"/>
      <c r="C12" s="24"/>
      <c r="D12" s="3">
        <v>15</v>
      </c>
    </row>
    <row r="13" spans="1:4" x14ac:dyDescent="0.3">
      <c r="A13" s="2"/>
      <c r="B13" s="4" t="s">
        <v>19</v>
      </c>
      <c r="C13" s="5" t="s">
        <v>20</v>
      </c>
      <c r="D13" s="6">
        <v>2</v>
      </c>
    </row>
    <row r="14" spans="1:4" x14ac:dyDescent="0.3">
      <c r="A14" s="2"/>
      <c r="B14" s="4" t="s">
        <v>21</v>
      </c>
      <c r="C14" s="5" t="s">
        <v>22</v>
      </c>
      <c r="D14" s="6">
        <v>3</v>
      </c>
    </row>
    <row r="15" spans="1:4" x14ac:dyDescent="0.3">
      <c r="A15" s="2"/>
      <c r="B15" s="4" t="s">
        <v>23</v>
      </c>
      <c r="C15" s="5" t="s">
        <v>24</v>
      </c>
      <c r="D15" s="6">
        <v>3</v>
      </c>
    </row>
    <row r="16" spans="1:4" x14ac:dyDescent="0.3">
      <c r="A16" s="2"/>
      <c r="B16" s="4" t="s">
        <v>25</v>
      </c>
      <c r="C16" s="5" t="s">
        <v>26</v>
      </c>
      <c r="D16" s="6">
        <v>3</v>
      </c>
    </row>
    <row r="17" spans="1:4" x14ac:dyDescent="0.3">
      <c r="A17" s="2"/>
      <c r="B17" s="4" t="s">
        <v>27</v>
      </c>
      <c r="C17" s="5" t="s">
        <v>28</v>
      </c>
      <c r="D17" s="6">
        <v>2</v>
      </c>
    </row>
    <row r="18" spans="1:4" x14ac:dyDescent="0.3">
      <c r="A18" s="2"/>
      <c r="B18" s="4" t="s">
        <v>29</v>
      </c>
      <c r="C18" s="5" t="s">
        <v>30</v>
      </c>
      <c r="D18" s="6">
        <v>2</v>
      </c>
    </row>
    <row r="19" spans="1:4" x14ac:dyDescent="0.3">
      <c r="A19" s="25" t="s">
        <v>31</v>
      </c>
      <c r="B19" s="24"/>
      <c r="C19" s="24"/>
      <c r="D19" s="7">
        <f>SUM(D13:D18)</f>
        <v>15</v>
      </c>
    </row>
    <row r="20" spans="1:4" x14ac:dyDescent="0.3">
      <c r="A20" s="27" t="s">
        <v>32</v>
      </c>
      <c r="B20" s="24"/>
      <c r="C20" s="24"/>
      <c r="D20" s="3">
        <v>10</v>
      </c>
    </row>
    <row r="21" spans="1:4" x14ac:dyDescent="0.3">
      <c r="A21" s="2"/>
      <c r="B21" s="4" t="s">
        <v>33</v>
      </c>
      <c r="C21" s="5" t="s">
        <v>34</v>
      </c>
      <c r="D21" s="6">
        <v>2</v>
      </c>
    </row>
    <row r="22" spans="1:4" x14ac:dyDescent="0.3">
      <c r="A22" s="2"/>
      <c r="B22" s="4" t="s">
        <v>35</v>
      </c>
      <c r="C22" s="5" t="s">
        <v>36</v>
      </c>
      <c r="D22" s="6">
        <v>2</v>
      </c>
    </row>
    <row r="23" spans="1:4" x14ac:dyDescent="0.3">
      <c r="A23" s="2"/>
      <c r="B23" s="4" t="s">
        <v>37</v>
      </c>
      <c r="C23" s="5" t="s">
        <v>38</v>
      </c>
      <c r="D23" s="6">
        <v>1</v>
      </c>
    </row>
    <row r="24" spans="1:4" x14ac:dyDescent="0.3">
      <c r="A24" s="2"/>
      <c r="B24" s="4" t="s">
        <v>39</v>
      </c>
      <c r="C24" s="5" t="s">
        <v>40</v>
      </c>
      <c r="D24" s="6">
        <v>2</v>
      </c>
    </row>
    <row r="25" spans="1:4" x14ac:dyDescent="0.3">
      <c r="A25" s="2"/>
      <c r="B25" s="4" t="s">
        <v>41</v>
      </c>
      <c r="C25" s="5" t="s">
        <v>42</v>
      </c>
      <c r="D25" s="6">
        <v>1</v>
      </c>
    </row>
    <row r="26" spans="1:4" x14ac:dyDescent="0.3">
      <c r="A26" s="2"/>
      <c r="B26" s="4" t="s">
        <v>43</v>
      </c>
      <c r="C26" s="5" t="s">
        <v>44</v>
      </c>
      <c r="D26" s="6">
        <v>1</v>
      </c>
    </row>
    <row r="27" spans="1:4" x14ac:dyDescent="0.3">
      <c r="A27" s="2"/>
      <c r="B27" s="4" t="s">
        <v>45</v>
      </c>
      <c r="C27" s="5" t="s">
        <v>46</v>
      </c>
      <c r="D27" s="6">
        <v>1</v>
      </c>
    </row>
    <row r="28" spans="1:4" x14ac:dyDescent="0.3">
      <c r="A28" s="25" t="s">
        <v>47</v>
      </c>
      <c r="B28" s="24"/>
      <c r="C28" s="24"/>
      <c r="D28" s="7">
        <f>SUM(D21:D27)</f>
        <v>10</v>
      </c>
    </row>
    <row r="29" spans="1:4" x14ac:dyDescent="0.3">
      <c r="A29" s="27" t="s">
        <v>48</v>
      </c>
      <c r="B29" s="24"/>
      <c r="C29" s="24"/>
      <c r="D29" s="3">
        <v>8</v>
      </c>
    </row>
    <row r="30" spans="1:4" x14ac:dyDescent="0.3">
      <c r="A30" s="2"/>
      <c r="B30" s="4" t="s">
        <v>49</v>
      </c>
      <c r="C30" s="5" t="s">
        <v>50</v>
      </c>
      <c r="D30" s="6">
        <v>1</v>
      </c>
    </row>
    <row r="31" spans="1:4" x14ac:dyDescent="0.3">
      <c r="A31" s="2"/>
      <c r="B31" s="4" t="s">
        <v>51</v>
      </c>
      <c r="C31" s="5" t="s">
        <v>52</v>
      </c>
      <c r="D31" s="6">
        <v>2</v>
      </c>
    </row>
    <row r="32" spans="1:4" x14ac:dyDescent="0.3">
      <c r="A32" s="2"/>
      <c r="B32" s="4" t="s">
        <v>53</v>
      </c>
      <c r="C32" s="5" t="s">
        <v>54</v>
      </c>
      <c r="D32" s="6">
        <v>2</v>
      </c>
    </row>
    <row r="33" spans="1:4" x14ac:dyDescent="0.3">
      <c r="A33" s="2"/>
      <c r="B33" s="4" t="s">
        <v>55</v>
      </c>
      <c r="C33" s="5" t="s">
        <v>56</v>
      </c>
      <c r="D33" s="6">
        <v>1</v>
      </c>
    </row>
    <row r="34" spans="1:4" x14ac:dyDescent="0.3">
      <c r="A34" s="2"/>
      <c r="B34" s="4" t="s">
        <v>57</v>
      </c>
      <c r="C34" s="5" t="s">
        <v>58</v>
      </c>
      <c r="D34" s="6">
        <v>2</v>
      </c>
    </row>
    <row r="35" spans="1:4" x14ac:dyDescent="0.3">
      <c r="A35" s="25" t="s">
        <v>59</v>
      </c>
      <c r="B35" s="24"/>
      <c r="C35" s="24"/>
      <c r="D35" s="7">
        <f>SUM(D30:D34)</f>
        <v>8</v>
      </c>
    </row>
    <row r="36" spans="1:4" x14ac:dyDescent="0.3">
      <c r="A36" s="27" t="s">
        <v>60</v>
      </c>
      <c r="B36" s="24"/>
      <c r="C36" s="24"/>
      <c r="D36" s="3">
        <v>8</v>
      </c>
    </row>
    <row r="37" spans="1:4" x14ac:dyDescent="0.3">
      <c r="A37" s="2"/>
      <c r="B37" s="4" t="s">
        <v>61</v>
      </c>
      <c r="C37" s="5" t="s">
        <v>62</v>
      </c>
      <c r="D37" s="6">
        <v>3</v>
      </c>
    </row>
    <row r="38" spans="1:4" x14ac:dyDescent="0.3">
      <c r="A38" s="2"/>
      <c r="B38" s="4" t="s">
        <v>63</v>
      </c>
      <c r="C38" s="5" t="s">
        <v>64</v>
      </c>
      <c r="D38" s="6">
        <v>3</v>
      </c>
    </row>
    <row r="39" spans="1:4" x14ac:dyDescent="0.3">
      <c r="A39" s="2"/>
      <c r="B39" s="4" t="s">
        <v>65</v>
      </c>
      <c r="C39" s="5" t="s">
        <v>66</v>
      </c>
      <c r="D39" s="6">
        <v>1</v>
      </c>
    </row>
    <row r="40" spans="1:4" x14ac:dyDescent="0.3">
      <c r="A40" s="2"/>
      <c r="B40" s="4" t="s">
        <v>67</v>
      </c>
      <c r="C40" s="5" t="s">
        <v>68</v>
      </c>
      <c r="D40" s="6">
        <v>1</v>
      </c>
    </row>
    <row r="41" spans="1:4" x14ac:dyDescent="0.3">
      <c r="A41" s="25" t="s">
        <v>69</v>
      </c>
      <c r="B41" s="24"/>
      <c r="C41" s="24"/>
      <c r="D41" s="7">
        <f>SUM(D37:D40)</f>
        <v>8</v>
      </c>
    </row>
    <row r="42" spans="1:4" x14ac:dyDescent="0.3">
      <c r="A42" s="27" t="s">
        <v>70</v>
      </c>
      <c r="B42" s="24"/>
      <c r="C42" s="24"/>
      <c r="D42" s="3">
        <v>10</v>
      </c>
    </row>
    <row r="43" spans="1:4" x14ac:dyDescent="0.3">
      <c r="A43" s="2"/>
      <c r="B43" s="4" t="s">
        <v>71</v>
      </c>
      <c r="C43" s="5" t="s">
        <v>72</v>
      </c>
      <c r="D43" s="6">
        <v>2</v>
      </c>
    </row>
    <row r="44" spans="1:4" x14ac:dyDescent="0.3">
      <c r="A44" s="2"/>
      <c r="B44" s="4" t="s">
        <v>73</v>
      </c>
      <c r="C44" s="5" t="s">
        <v>74</v>
      </c>
      <c r="D44" s="6">
        <v>2</v>
      </c>
    </row>
    <row r="45" spans="1:4" x14ac:dyDescent="0.3">
      <c r="A45" s="2"/>
      <c r="B45" s="4" t="s">
        <v>75</v>
      </c>
      <c r="C45" s="5" t="s">
        <v>76</v>
      </c>
      <c r="D45" s="6">
        <v>2</v>
      </c>
    </row>
    <row r="46" spans="1:4" x14ac:dyDescent="0.3">
      <c r="A46" s="2"/>
      <c r="B46" s="4" t="s">
        <v>77</v>
      </c>
      <c r="C46" s="5" t="s">
        <v>78</v>
      </c>
      <c r="D46" s="6">
        <v>1</v>
      </c>
    </row>
    <row r="47" spans="1:4" x14ac:dyDescent="0.3">
      <c r="A47" s="2"/>
      <c r="B47" s="4" t="s">
        <v>79</v>
      </c>
      <c r="C47" s="5" t="s">
        <v>80</v>
      </c>
      <c r="D47" s="6">
        <v>1</v>
      </c>
    </row>
    <row r="48" spans="1:4" x14ac:dyDescent="0.3">
      <c r="A48" s="2"/>
      <c r="B48" s="4" t="s">
        <v>81</v>
      </c>
      <c r="C48" s="5" t="s">
        <v>82</v>
      </c>
      <c r="D48" s="6">
        <v>1</v>
      </c>
    </row>
    <row r="49" spans="1:4" x14ac:dyDescent="0.3">
      <c r="A49" s="2"/>
      <c r="B49" s="4" t="s">
        <v>83</v>
      </c>
      <c r="C49" s="5" t="s">
        <v>84</v>
      </c>
      <c r="D49" s="6">
        <v>1</v>
      </c>
    </row>
    <row r="50" spans="1:4" x14ac:dyDescent="0.3">
      <c r="A50" s="25" t="s">
        <v>85</v>
      </c>
      <c r="B50" s="24"/>
      <c r="C50" s="24"/>
      <c r="D50" s="7">
        <f>SUM(D43:D49)</f>
        <v>10</v>
      </c>
    </row>
    <row r="51" spans="1:4" x14ac:dyDescent="0.3">
      <c r="A51" s="27" t="s">
        <v>86</v>
      </c>
      <c r="B51" s="24"/>
      <c r="C51" s="24"/>
      <c r="D51" s="3">
        <v>10</v>
      </c>
    </row>
    <row r="52" spans="1:4" x14ac:dyDescent="0.3">
      <c r="A52" s="2"/>
      <c r="B52" s="4" t="s">
        <v>87</v>
      </c>
      <c r="C52" s="5" t="s">
        <v>88</v>
      </c>
      <c r="D52" s="6">
        <v>2</v>
      </c>
    </row>
    <row r="53" spans="1:4" x14ac:dyDescent="0.3">
      <c r="A53" s="2"/>
      <c r="B53" s="4" t="s">
        <v>89</v>
      </c>
      <c r="C53" s="5" t="s">
        <v>90</v>
      </c>
      <c r="D53" s="6">
        <v>2</v>
      </c>
    </row>
    <row r="54" spans="1:4" x14ac:dyDescent="0.3">
      <c r="A54" s="2"/>
      <c r="B54" s="4" t="s">
        <v>91</v>
      </c>
      <c r="C54" s="5" t="s">
        <v>92</v>
      </c>
      <c r="D54" s="6">
        <v>2</v>
      </c>
    </row>
    <row r="55" spans="1:4" x14ac:dyDescent="0.3">
      <c r="A55" s="2"/>
      <c r="B55" s="4" t="s">
        <v>93</v>
      </c>
      <c r="C55" s="5" t="s">
        <v>94</v>
      </c>
      <c r="D55" s="6">
        <v>2</v>
      </c>
    </row>
    <row r="56" spans="1:4" x14ac:dyDescent="0.3">
      <c r="A56" s="2"/>
      <c r="B56" s="4" t="s">
        <v>95</v>
      </c>
      <c r="C56" s="5" t="s">
        <v>96</v>
      </c>
      <c r="D56" s="6">
        <v>2</v>
      </c>
    </row>
    <row r="57" spans="1:4" x14ac:dyDescent="0.3">
      <c r="A57" s="25" t="s">
        <v>97</v>
      </c>
      <c r="B57" s="24"/>
      <c r="C57" s="24"/>
      <c r="D57" s="7">
        <f>SUM(D52:D56)</f>
        <v>10</v>
      </c>
    </row>
    <row r="58" spans="1:4" x14ac:dyDescent="0.3">
      <c r="A58" s="27" t="s">
        <v>98</v>
      </c>
      <c r="B58" s="24"/>
      <c r="C58" s="24"/>
      <c r="D58" s="3">
        <v>15</v>
      </c>
    </row>
    <row r="59" spans="1:4" x14ac:dyDescent="0.3">
      <c r="A59" s="2"/>
      <c r="B59" s="4" t="s">
        <v>99</v>
      </c>
      <c r="C59" s="5" t="s">
        <v>100</v>
      </c>
      <c r="D59" s="6">
        <v>2</v>
      </c>
    </row>
    <row r="60" spans="1:4" x14ac:dyDescent="0.3">
      <c r="A60" s="2"/>
      <c r="B60" s="4" t="s">
        <v>101</v>
      </c>
      <c r="C60" s="5" t="s">
        <v>102</v>
      </c>
      <c r="D60" s="6">
        <v>2</v>
      </c>
    </row>
    <row r="61" spans="1:4" x14ac:dyDescent="0.3">
      <c r="A61" s="2"/>
      <c r="B61" s="4" t="s">
        <v>103</v>
      </c>
      <c r="C61" s="5" t="s">
        <v>104</v>
      </c>
      <c r="D61" s="6">
        <v>1</v>
      </c>
    </row>
    <row r="62" spans="1:4" x14ac:dyDescent="0.3">
      <c r="A62" s="2"/>
      <c r="B62" s="4" t="s">
        <v>105</v>
      </c>
      <c r="C62" s="5" t="s">
        <v>106</v>
      </c>
      <c r="D62" s="6">
        <v>2</v>
      </c>
    </row>
    <row r="63" spans="1:4" x14ac:dyDescent="0.3">
      <c r="A63" s="2"/>
      <c r="B63" s="4" t="s">
        <v>107</v>
      </c>
      <c r="C63" s="5" t="s">
        <v>108</v>
      </c>
      <c r="D63" s="6">
        <v>3</v>
      </c>
    </row>
    <row r="64" spans="1:4" x14ac:dyDescent="0.3">
      <c r="A64" s="2"/>
      <c r="B64" s="4" t="s">
        <v>109</v>
      </c>
      <c r="C64" s="5" t="s">
        <v>110</v>
      </c>
      <c r="D64" s="6">
        <v>2</v>
      </c>
    </row>
    <row r="65" spans="1:4" x14ac:dyDescent="0.3">
      <c r="A65" s="2"/>
      <c r="B65" s="4" t="s">
        <v>111</v>
      </c>
      <c r="C65" s="5" t="s">
        <v>112</v>
      </c>
      <c r="D65" s="6">
        <v>2</v>
      </c>
    </row>
    <row r="66" spans="1:4" x14ac:dyDescent="0.3">
      <c r="A66" s="2"/>
      <c r="B66" s="4" t="s">
        <v>113</v>
      </c>
      <c r="C66" s="5" t="s">
        <v>114</v>
      </c>
      <c r="D66" s="6">
        <v>1</v>
      </c>
    </row>
    <row r="67" spans="1:4" x14ac:dyDescent="0.3">
      <c r="A67" s="25" t="s">
        <v>115</v>
      </c>
      <c r="B67" s="24"/>
      <c r="C67" s="24"/>
      <c r="D67" s="7">
        <f>SUM(D59:D66)</f>
        <v>15</v>
      </c>
    </row>
    <row r="68" spans="1:4" x14ac:dyDescent="0.3">
      <c r="A68" s="27" t="s">
        <v>116</v>
      </c>
      <c r="B68" s="24"/>
      <c r="C68" s="24"/>
      <c r="D68" s="3">
        <v>8</v>
      </c>
    </row>
    <row r="69" spans="1:4" x14ac:dyDescent="0.3">
      <c r="A69" s="2"/>
      <c r="B69" s="4" t="s">
        <v>117</v>
      </c>
      <c r="C69" s="5" t="s">
        <v>118</v>
      </c>
      <c r="D69" s="6">
        <v>2</v>
      </c>
    </row>
    <row r="70" spans="1:4" x14ac:dyDescent="0.3">
      <c r="A70" s="2"/>
      <c r="B70" s="4" t="s">
        <v>119</v>
      </c>
      <c r="C70" s="5" t="s">
        <v>120</v>
      </c>
      <c r="D70" s="6">
        <v>2</v>
      </c>
    </row>
    <row r="71" spans="1:4" x14ac:dyDescent="0.3">
      <c r="A71" s="2"/>
      <c r="B71" s="4" t="s">
        <v>121</v>
      </c>
      <c r="C71" s="5" t="s">
        <v>122</v>
      </c>
      <c r="D71" s="6">
        <v>2</v>
      </c>
    </row>
    <row r="72" spans="1:4" x14ac:dyDescent="0.3">
      <c r="A72" s="2"/>
      <c r="B72" s="4" t="s">
        <v>123</v>
      </c>
      <c r="C72" s="5" t="s">
        <v>124</v>
      </c>
      <c r="D72" s="6">
        <v>1</v>
      </c>
    </row>
    <row r="73" spans="1:4" x14ac:dyDescent="0.3">
      <c r="A73" s="2"/>
      <c r="B73" s="4" t="s">
        <v>125</v>
      </c>
      <c r="C73" s="5" t="s">
        <v>126</v>
      </c>
      <c r="D73" s="6">
        <v>1</v>
      </c>
    </row>
    <row r="74" spans="1:4" x14ac:dyDescent="0.3">
      <c r="A74" s="25" t="s">
        <v>127</v>
      </c>
      <c r="B74" s="24"/>
      <c r="C74" s="24"/>
      <c r="D74" s="7">
        <f>SUM(D69:D73)</f>
        <v>8</v>
      </c>
    </row>
    <row r="75" spans="1:4" x14ac:dyDescent="0.3">
      <c r="A75" s="27" t="s">
        <v>128</v>
      </c>
      <c r="B75" s="24"/>
      <c r="C75" s="24"/>
      <c r="D75" s="3">
        <v>8</v>
      </c>
    </row>
    <row r="76" spans="1:4" x14ac:dyDescent="0.3">
      <c r="A76" s="2"/>
      <c r="B76" s="4" t="s">
        <v>129</v>
      </c>
      <c r="C76" s="5" t="s">
        <v>130</v>
      </c>
      <c r="D76" s="6">
        <v>2</v>
      </c>
    </row>
    <row r="77" spans="1:4" x14ac:dyDescent="0.3">
      <c r="A77" s="2"/>
      <c r="B77" s="4" t="s">
        <v>131</v>
      </c>
      <c r="C77" s="5" t="s">
        <v>132</v>
      </c>
      <c r="D77" s="6">
        <v>1</v>
      </c>
    </row>
    <row r="78" spans="1:4" x14ac:dyDescent="0.3">
      <c r="A78" s="2"/>
      <c r="B78" s="4" t="s">
        <v>133</v>
      </c>
      <c r="C78" s="5" t="s">
        <v>134</v>
      </c>
      <c r="D78" s="6">
        <v>2</v>
      </c>
    </row>
    <row r="79" spans="1:4" x14ac:dyDescent="0.3">
      <c r="A79" s="2"/>
      <c r="B79" s="4" t="s">
        <v>135</v>
      </c>
      <c r="C79" s="5" t="s">
        <v>136</v>
      </c>
      <c r="D79" s="6">
        <v>2</v>
      </c>
    </row>
    <row r="80" spans="1:4" x14ac:dyDescent="0.3">
      <c r="A80" s="2"/>
      <c r="B80" s="4" t="s">
        <v>137</v>
      </c>
      <c r="C80" s="5" t="s">
        <v>138</v>
      </c>
      <c r="D80" s="6">
        <v>1</v>
      </c>
    </row>
    <row r="81" spans="1:4" x14ac:dyDescent="0.3">
      <c r="A81" s="25" t="s">
        <v>139</v>
      </c>
      <c r="B81" s="24"/>
      <c r="C81" s="24"/>
      <c r="D81" s="7">
        <f>SUM(D76:D80)</f>
        <v>8</v>
      </c>
    </row>
    <row r="82" spans="1:4" ht="15.6" x14ac:dyDescent="0.3">
      <c r="A82" s="26" t="s">
        <v>140</v>
      </c>
      <c r="B82" s="24"/>
      <c r="C82" s="24"/>
      <c r="D82" s="8">
        <f>D11+D19+D28+D35+D41+D50+D57+D67+D74+D81</f>
        <v>100</v>
      </c>
    </row>
  </sheetData>
  <mergeCells count="23">
    <mergeCell ref="A41:C41"/>
    <mergeCell ref="A75:C75"/>
    <mergeCell ref="A74:C74"/>
    <mergeCell ref="A50:C50"/>
    <mergeCell ref="A12:C12"/>
    <mergeCell ref="A57:C57"/>
    <mergeCell ref="A42:C42"/>
    <mergeCell ref="A82:C82"/>
    <mergeCell ref="A36:C36"/>
    <mergeCell ref="A11:C11"/>
    <mergeCell ref="A2:D2"/>
    <mergeCell ref="A1:D1"/>
    <mergeCell ref="A28:C28"/>
    <mergeCell ref="A19:C19"/>
    <mergeCell ref="A68:C68"/>
    <mergeCell ref="A58:C58"/>
    <mergeCell ref="A67:C67"/>
    <mergeCell ref="A51:C51"/>
    <mergeCell ref="A5:C5"/>
    <mergeCell ref="A35:C35"/>
    <mergeCell ref="A29:C29"/>
    <mergeCell ref="A20:C20"/>
    <mergeCell ref="A81:C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3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I11" sqref="I11"/>
    </sheetView>
  </sheetViews>
  <sheetFormatPr defaultRowHeight="14.4" x14ac:dyDescent="0.3"/>
  <cols>
    <col min="1" max="1" width="12" customWidth="1"/>
    <col min="2" max="2" width="6" customWidth="1"/>
    <col min="3" max="3" width="60" customWidth="1"/>
    <col min="4" max="4" width="7" customWidth="1"/>
    <col min="5" max="5" width="10.5546875" bestFit="1" customWidth="1"/>
    <col min="6" max="6" width="30" customWidth="1"/>
  </cols>
  <sheetData>
    <row r="1" spans="1:6" ht="26.1" customHeight="1" x14ac:dyDescent="0.3">
      <c r="A1" s="21" t="s">
        <v>174</v>
      </c>
      <c r="B1" s="22"/>
      <c r="C1" s="22"/>
      <c r="D1" s="22"/>
      <c r="E1" s="22"/>
      <c r="F1" s="22"/>
    </row>
    <row r="3" spans="1:6" ht="27.9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175</v>
      </c>
      <c r="F3" s="1" t="s">
        <v>141</v>
      </c>
    </row>
    <row r="4" spans="1:6" x14ac:dyDescent="0.3">
      <c r="A4" s="27" t="s">
        <v>6</v>
      </c>
      <c r="B4" s="24"/>
      <c r="C4" s="24"/>
      <c r="D4" s="3">
        <v>8</v>
      </c>
      <c r="E4" s="9"/>
      <c r="F4" s="9"/>
    </row>
    <row r="5" spans="1:6" x14ac:dyDescent="0.3">
      <c r="A5" s="2"/>
      <c r="B5" s="4" t="s">
        <v>7</v>
      </c>
      <c r="C5" s="5" t="s">
        <v>8</v>
      </c>
      <c r="D5" s="6">
        <v>2</v>
      </c>
      <c r="E5" s="6"/>
      <c r="F5" s="2"/>
    </row>
    <row r="6" spans="1:6" x14ac:dyDescent="0.3">
      <c r="A6" s="2"/>
      <c r="B6" s="4" t="s">
        <v>9</v>
      </c>
      <c r="C6" s="5" t="s">
        <v>10</v>
      </c>
      <c r="D6" s="6">
        <v>2</v>
      </c>
      <c r="E6" s="6"/>
      <c r="F6" s="2"/>
    </row>
    <row r="7" spans="1:6" x14ac:dyDescent="0.3">
      <c r="A7" s="2"/>
      <c r="B7" s="4" t="s">
        <v>11</v>
      </c>
      <c r="C7" s="5" t="s">
        <v>12</v>
      </c>
      <c r="D7" s="6">
        <v>1.5</v>
      </c>
      <c r="E7" s="6"/>
      <c r="F7" s="2"/>
    </row>
    <row r="8" spans="1:6" x14ac:dyDescent="0.3">
      <c r="A8" s="2"/>
      <c r="B8" s="4" t="s">
        <v>13</v>
      </c>
      <c r="C8" s="5" t="s">
        <v>14</v>
      </c>
      <c r="D8" s="6">
        <v>1</v>
      </c>
      <c r="E8" s="6"/>
      <c r="F8" s="2"/>
    </row>
    <row r="9" spans="1:6" x14ac:dyDescent="0.3">
      <c r="A9" s="2"/>
      <c r="B9" s="4" t="s">
        <v>15</v>
      </c>
      <c r="C9" s="5" t="s">
        <v>16</v>
      </c>
      <c r="D9" s="6">
        <v>1.5</v>
      </c>
      <c r="E9" s="6"/>
      <c r="F9" s="2"/>
    </row>
    <row r="10" spans="1:6" x14ac:dyDescent="0.3">
      <c r="A10" s="25" t="s">
        <v>142</v>
      </c>
      <c r="B10" s="24"/>
      <c r="C10" s="24"/>
      <c r="D10" s="7">
        <v>8</v>
      </c>
      <c r="E10" s="7">
        <f t="shared" ref="E10" si="0">SUM(E5:E9)</f>
        <v>0</v>
      </c>
      <c r="F10" s="10"/>
    </row>
    <row r="11" spans="1:6" x14ac:dyDescent="0.3">
      <c r="A11" s="27" t="s">
        <v>18</v>
      </c>
      <c r="B11" s="24"/>
      <c r="C11" s="24"/>
      <c r="D11" s="3">
        <v>15</v>
      </c>
      <c r="E11" s="9"/>
      <c r="F11" s="9"/>
    </row>
    <row r="12" spans="1:6" x14ac:dyDescent="0.3">
      <c r="A12" s="2"/>
      <c r="B12" s="4" t="s">
        <v>19</v>
      </c>
      <c r="C12" s="5" t="s">
        <v>20</v>
      </c>
      <c r="D12" s="6">
        <v>2</v>
      </c>
      <c r="E12" s="6"/>
      <c r="F12" s="2"/>
    </row>
    <row r="13" spans="1:6" x14ac:dyDescent="0.3">
      <c r="A13" s="2"/>
      <c r="B13" s="4" t="s">
        <v>21</v>
      </c>
      <c r="C13" s="5" t="s">
        <v>22</v>
      </c>
      <c r="D13" s="6">
        <v>3</v>
      </c>
      <c r="E13" s="6"/>
      <c r="F13" s="2"/>
    </row>
    <row r="14" spans="1:6" x14ac:dyDescent="0.3">
      <c r="A14" s="2"/>
      <c r="B14" s="4" t="s">
        <v>23</v>
      </c>
      <c r="C14" s="5" t="s">
        <v>24</v>
      </c>
      <c r="D14" s="6">
        <v>3</v>
      </c>
      <c r="E14" s="6"/>
      <c r="F14" s="2"/>
    </row>
    <row r="15" spans="1:6" x14ac:dyDescent="0.3">
      <c r="A15" s="2"/>
      <c r="B15" s="4" t="s">
        <v>25</v>
      </c>
      <c r="C15" s="5" t="s">
        <v>26</v>
      </c>
      <c r="D15" s="6">
        <v>3</v>
      </c>
      <c r="E15" s="6"/>
      <c r="F15" s="2"/>
    </row>
    <row r="16" spans="1:6" x14ac:dyDescent="0.3">
      <c r="A16" s="2"/>
      <c r="B16" s="4" t="s">
        <v>27</v>
      </c>
      <c r="C16" s="5" t="s">
        <v>28</v>
      </c>
      <c r="D16" s="6">
        <v>2</v>
      </c>
      <c r="E16" s="6"/>
      <c r="F16" s="2"/>
    </row>
    <row r="17" spans="1:6" x14ac:dyDescent="0.3">
      <c r="A17" s="2"/>
      <c r="B17" s="4" t="s">
        <v>29</v>
      </c>
      <c r="C17" s="5" t="s">
        <v>30</v>
      </c>
      <c r="D17" s="6">
        <v>2</v>
      </c>
      <c r="E17" s="6"/>
      <c r="F17" s="2"/>
    </row>
    <row r="18" spans="1:6" x14ac:dyDescent="0.3">
      <c r="A18" s="25" t="s">
        <v>143</v>
      </c>
      <c r="B18" s="24"/>
      <c r="C18" s="24"/>
      <c r="D18" s="7">
        <v>15</v>
      </c>
      <c r="E18" s="7">
        <f t="shared" ref="E18" si="1">SUM(E12:E17)</f>
        <v>0</v>
      </c>
      <c r="F18" s="10"/>
    </row>
    <row r="19" spans="1:6" x14ac:dyDescent="0.3">
      <c r="A19" s="27" t="s">
        <v>32</v>
      </c>
      <c r="B19" s="24"/>
      <c r="C19" s="24"/>
      <c r="D19" s="3">
        <v>10</v>
      </c>
      <c r="E19" s="9"/>
      <c r="F19" s="9"/>
    </row>
    <row r="20" spans="1:6" x14ac:dyDescent="0.3">
      <c r="A20" s="2"/>
      <c r="B20" s="4" t="s">
        <v>33</v>
      </c>
      <c r="C20" s="5" t="s">
        <v>34</v>
      </c>
      <c r="D20" s="6">
        <v>2</v>
      </c>
      <c r="E20" s="6"/>
      <c r="F20" s="2"/>
    </row>
    <row r="21" spans="1:6" x14ac:dyDescent="0.3">
      <c r="A21" s="2"/>
      <c r="B21" s="4" t="s">
        <v>35</v>
      </c>
      <c r="C21" s="5" t="s">
        <v>36</v>
      </c>
      <c r="D21" s="6">
        <v>2</v>
      </c>
      <c r="E21" s="6"/>
      <c r="F21" s="2"/>
    </row>
    <row r="22" spans="1:6" x14ac:dyDescent="0.3">
      <c r="A22" s="2"/>
      <c r="B22" s="4" t="s">
        <v>37</v>
      </c>
      <c r="C22" s="5" t="s">
        <v>38</v>
      </c>
      <c r="D22" s="6">
        <v>1</v>
      </c>
      <c r="E22" s="6"/>
      <c r="F22" s="2"/>
    </row>
    <row r="23" spans="1:6" x14ac:dyDescent="0.3">
      <c r="A23" s="2"/>
      <c r="B23" s="4" t="s">
        <v>39</v>
      </c>
      <c r="C23" s="5" t="s">
        <v>40</v>
      </c>
      <c r="D23" s="6">
        <v>2</v>
      </c>
      <c r="E23" s="6"/>
      <c r="F23" s="2"/>
    </row>
    <row r="24" spans="1:6" x14ac:dyDescent="0.3">
      <c r="A24" s="2"/>
      <c r="B24" s="4" t="s">
        <v>41</v>
      </c>
      <c r="C24" s="5" t="s">
        <v>42</v>
      </c>
      <c r="D24" s="6">
        <v>1</v>
      </c>
      <c r="E24" s="6"/>
      <c r="F24" s="2"/>
    </row>
    <row r="25" spans="1:6" x14ac:dyDescent="0.3">
      <c r="A25" s="2"/>
      <c r="B25" s="4" t="s">
        <v>43</v>
      </c>
      <c r="C25" s="5" t="s">
        <v>44</v>
      </c>
      <c r="D25" s="6">
        <v>1</v>
      </c>
      <c r="E25" s="6"/>
      <c r="F25" s="2"/>
    </row>
    <row r="26" spans="1:6" x14ac:dyDescent="0.3">
      <c r="A26" s="2"/>
      <c r="B26" s="4" t="s">
        <v>45</v>
      </c>
      <c r="C26" s="5" t="s">
        <v>46</v>
      </c>
      <c r="D26" s="6">
        <v>1</v>
      </c>
      <c r="E26" s="6"/>
      <c r="F26" s="2"/>
    </row>
    <row r="27" spans="1:6" x14ac:dyDescent="0.3">
      <c r="A27" s="25" t="s">
        <v>144</v>
      </c>
      <c r="B27" s="24"/>
      <c r="C27" s="24"/>
      <c r="D27" s="7">
        <v>10</v>
      </c>
      <c r="E27" s="7">
        <f t="shared" ref="E27" si="2">SUM(E20:E26)</f>
        <v>0</v>
      </c>
      <c r="F27" s="10"/>
    </row>
    <row r="28" spans="1:6" x14ac:dyDescent="0.3">
      <c r="A28" s="27" t="s">
        <v>48</v>
      </c>
      <c r="B28" s="24"/>
      <c r="C28" s="24"/>
      <c r="D28" s="3">
        <v>8</v>
      </c>
      <c r="E28" s="9"/>
      <c r="F28" s="9"/>
    </row>
    <row r="29" spans="1:6" x14ac:dyDescent="0.3">
      <c r="A29" s="2"/>
      <c r="B29" s="4" t="s">
        <v>49</v>
      </c>
      <c r="C29" s="5" t="s">
        <v>50</v>
      </c>
      <c r="D29" s="6">
        <v>1</v>
      </c>
      <c r="E29" s="6"/>
      <c r="F29" s="2"/>
    </row>
    <row r="30" spans="1:6" x14ac:dyDescent="0.3">
      <c r="A30" s="2"/>
      <c r="B30" s="4" t="s">
        <v>51</v>
      </c>
      <c r="C30" s="5" t="s">
        <v>52</v>
      </c>
      <c r="D30" s="6">
        <v>2</v>
      </c>
      <c r="E30" s="6"/>
      <c r="F30" s="2"/>
    </row>
    <row r="31" spans="1:6" x14ac:dyDescent="0.3">
      <c r="A31" s="2"/>
      <c r="B31" s="4" t="s">
        <v>53</v>
      </c>
      <c r="C31" s="5" t="s">
        <v>54</v>
      </c>
      <c r="D31" s="6">
        <v>2</v>
      </c>
      <c r="E31" s="6"/>
      <c r="F31" s="2"/>
    </row>
    <row r="32" spans="1:6" x14ac:dyDescent="0.3">
      <c r="A32" s="2"/>
      <c r="B32" s="4" t="s">
        <v>55</v>
      </c>
      <c r="C32" s="5" t="s">
        <v>56</v>
      </c>
      <c r="D32" s="6">
        <v>1</v>
      </c>
      <c r="E32" s="6"/>
      <c r="F32" s="2"/>
    </row>
    <row r="33" spans="1:6" x14ac:dyDescent="0.3">
      <c r="A33" s="2"/>
      <c r="B33" s="4" t="s">
        <v>57</v>
      </c>
      <c r="C33" s="5" t="s">
        <v>58</v>
      </c>
      <c r="D33" s="6">
        <v>2</v>
      </c>
      <c r="E33" s="6"/>
      <c r="F33" s="2"/>
    </row>
    <row r="34" spans="1:6" x14ac:dyDescent="0.3">
      <c r="A34" s="25" t="s">
        <v>145</v>
      </c>
      <c r="B34" s="24"/>
      <c r="C34" s="24"/>
      <c r="D34" s="7">
        <v>8</v>
      </c>
      <c r="E34" s="7">
        <f t="shared" ref="E34" si="3">SUM(E29:E33)</f>
        <v>0</v>
      </c>
      <c r="F34" s="10"/>
    </row>
    <row r="35" spans="1:6" x14ac:dyDescent="0.3">
      <c r="A35" s="27" t="s">
        <v>60</v>
      </c>
      <c r="B35" s="24"/>
      <c r="C35" s="24"/>
      <c r="D35" s="3">
        <v>8</v>
      </c>
      <c r="E35" s="9"/>
      <c r="F35" s="9"/>
    </row>
    <row r="36" spans="1:6" x14ac:dyDescent="0.3">
      <c r="A36" s="2"/>
      <c r="B36" s="4" t="s">
        <v>61</v>
      </c>
      <c r="C36" s="5" t="s">
        <v>62</v>
      </c>
      <c r="D36" s="6">
        <v>3</v>
      </c>
      <c r="E36" s="6"/>
      <c r="F36" s="2"/>
    </row>
    <row r="37" spans="1:6" x14ac:dyDescent="0.3">
      <c r="A37" s="2"/>
      <c r="B37" s="4" t="s">
        <v>63</v>
      </c>
      <c r="C37" s="5" t="s">
        <v>64</v>
      </c>
      <c r="D37" s="6">
        <v>3</v>
      </c>
      <c r="E37" s="6"/>
      <c r="F37" s="2"/>
    </row>
    <row r="38" spans="1:6" x14ac:dyDescent="0.3">
      <c r="A38" s="2"/>
      <c r="B38" s="4" t="s">
        <v>65</v>
      </c>
      <c r="C38" s="5" t="s">
        <v>66</v>
      </c>
      <c r="D38" s="6">
        <v>1</v>
      </c>
      <c r="E38" s="6"/>
      <c r="F38" s="2"/>
    </row>
    <row r="39" spans="1:6" x14ac:dyDescent="0.3">
      <c r="A39" s="2"/>
      <c r="B39" s="4" t="s">
        <v>67</v>
      </c>
      <c r="C39" s="5" t="s">
        <v>68</v>
      </c>
      <c r="D39" s="6">
        <v>1</v>
      </c>
      <c r="E39" s="6"/>
      <c r="F39" s="2"/>
    </row>
    <row r="40" spans="1:6" x14ac:dyDescent="0.3">
      <c r="A40" s="25" t="s">
        <v>146</v>
      </c>
      <c r="B40" s="24"/>
      <c r="C40" s="24"/>
      <c r="D40" s="7">
        <v>8</v>
      </c>
      <c r="E40" s="7">
        <f t="shared" ref="E40" si="4">SUM(E36:E39)</f>
        <v>0</v>
      </c>
      <c r="F40" s="10"/>
    </row>
    <row r="41" spans="1:6" x14ac:dyDescent="0.3">
      <c r="A41" s="27" t="s">
        <v>70</v>
      </c>
      <c r="B41" s="24"/>
      <c r="C41" s="24"/>
      <c r="D41" s="3">
        <v>10</v>
      </c>
      <c r="E41" s="9"/>
      <c r="F41" s="9"/>
    </row>
    <row r="42" spans="1:6" x14ac:dyDescent="0.3">
      <c r="A42" s="2"/>
      <c r="B42" s="4" t="s">
        <v>71</v>
      </c>
      <c r="C42" s="5" t="s">
        <v>72</v>
      </c>
      <c r="D42" s="6">
        <v>2</v>
      </c>
      <c r="E42" s="6"/>
      <c r="F42" s="2"/>
    </row>
    <row r="43" spans="1:6" x14ac:dyDescent="0.3">
      <c r="A43" s="2"/>
      <c r="B43" s="4" t="s">
        <v>73</v>
      </c>
      <c r="C43" s="5" t="s">
        <v>74</v>
      </c>
      <c r="D43" s="6">
        <v>2</v>
      </c>
      <c r="E43" s="6"/>
      <c r="F43" s="2"/>
    </row>
    <row r="44" spans="1:6" x14ac:dyDescent="0.3">
      <c r="A44" s="2"/>
      <c r="B44" s="4" t="s">
        <v>75</v>
      </c>
      <c r="C44" s="5" t="s">
        <v>76</v>
      </c>
      <c r="D44" s="6">
        <v>2</v>
      </c>
      <c r="E44" s="6"/>
      <c r="F44" s="2"/>
    </row>
    <row r="45" spans="1:6" x14ac:dyDescent="0.3">
      <c r="A45" s="2"/>
      <c r="B45" s="4" t="s">
        <v>77</v>
      </c>
      <c r="C45" s="5" t="s">
        <v>78</v>
      </c>
      <c r="D45" s="6">
        <v>1</v>
      </c>
      <c r="E45" s="6"/>
      <c r="F45" s="2"/>
    </row>
    <row r="46" spans="1:6" x14ac:dyDescent="0.3">
      <c r="A46" s="2"/>
      <c r="B46" s="4" t="s">
        <v>79</v>
      </c>
      <c r="C46" s="5" t="s">
        <v>80</v>
      </c>
      <c r="D46" s="6">
        <v>1</v>
      </c>
      <c r="E46" s="6"/>
      <c r="F46" s="2"/>
    </row>
    <row r="47" spans="1:6" x14ac:dyDescent="0.3">
      <c r="A47" s="2"/>
      <c r="B47" s="4" t="s">
        <v>81</v>
      </c>
      <c r="C47" s="5" t="s">
        <v>82</v>
      </c>
      <c r="D47" s="6">
        <v>1</v>
      </c>
      <c r="E47" s="6"/>
      <c r="F47" s="2"/>
    </row>
    <row r="48" spans="1:6" x14ac:dyDescent="0.3">
      <c r="A48" s="2"/>
      <c r="B48" s="4" t="s">
        <v>83</v>
      </c>
      <c r="C48" s="5" t="s">
        <v>84</v>
      </c>
      <c r="D48" s="6">
        <v>1</v>
      </c>
      <c r="E48" s="6"/>
      <c r="F48" s="2"/>
    </row>
    <row r="49" spans="1:6" x14ac:dyDescent="0.3">
      <c r="A49" s="25" t="s">
        <v>147</v>
      </c>
      <c r="B49" s="24"/>
      <c r="C49" s="24"/>
      <c r="D49" s="7">
        <v>10</v>
      </c>
      <c r="E49" s="7">
        <f t="shared" ref="E49" si="5">SUM(E42:E48)</f>
        <v>0</v>
      </c>
      <c r="F49" s="10"/>
    </row>
    <row r="50" spans="1:6" x14ac:dyDescent="0.3">
      <c r="A50" s="27" t="s">
        <v>86</v>
      </c>
      <c r="B50" s="24"/>
      <c r="C50" s="24"/>
      <c r="D50" s="3">
        <v>10</v>
      </c>
      <c r="E50" s="9"/>
      <c r="F50" s="9"/>
    </row>
    <row r="51" spans="1:6" x14ac:dyDescent="0.3">
      <c r="A51" s="2"/>
      <c r="B51" s="4" t="s">
        <v>87</v>
      </c>
      <c r="C51" s="5" t="s">
        <v>88</v>
      </c>
      <c r="D51" s="6">
        <v>2</v>
      </c>
      <c r="E51" s="6"/>
      <c r="F51" s="2"/>
    </row>
    <row r="52" spans="1:6" x14ac:dyDescent="0.3">
      <c r="A52" s="2"/>
      <c r="B52" s="4" t="s">
        <v>89</v>
      </c>
      <c r="C52" s="5" t="s">
        <v>90</v>
      </c>
      <c r="D52" s="6">
        <v>2</v>
      </c>
      <c r="E52" s="6"/>
      <c r="F52" s="2"/>
    </row>
    <row r="53" spans="1:6" x14ac:dyDescent="0.3">
      <c r="A53" s="2"/>
      <c r="B53" s="4" t="s">
        <v>91</v>
      </c>
      <c r="C53" s="5" t="s">
        <v>92</v>
      </c>
      <c r="D53" s="6">
        <v>2</v>
      </c>
      <c r="E53" s="6"/>
      <c r="F53" s="2"/>
    </row>
    <row r="54" spans="1:6" x14ac:dyDescent="0.3">
      <c r="A54" s="2"/>
      <c r="B54" s="4" t="s">
        <v>93</v>
      </c>
      <c r="C54" s="5" t="s">
        <v>94</v>
      </c>
      <c r="D54" s="6">
        <v>2</v>
      </c>
      <c r="E54" s="6"/>
      <c r="F54" s="2"/>
    </row>
    <row r="55" spans="1:6" x14ac:dyDescent="0.3">
      <c r="A55" s="2"/>
      <c r="B55" s="4" t="s">
        <v>95</v>
      </c>
      <c r="C55" s="5" t="s">
        <v>96</v>
      </c>
      <c r="D55" s="6">
        <v>2</v>
      </c>
      <c r="E55" s="6"/>
      <c r="F55" s="2"/>
    </row>
    <row r="56" spans="1:6" x14ac:dyDescent="0.3">
      <c r="A56" s="25" t="s">
        <v>148</v>
      </c>
      <c r="B56" s="24"/>
      <c r="C56" s="24"/>
      <c r="D56" s="7">
        <v>10</v>
      </c>
      <c r="E56" s="7">
        <f t="shared" ref="E56" si="6">SUM(E51:E55)</f>
        <v>0</v>
      </c>
      <c r="F56" s="10"/>
    </row>
    <row r="57" spans="1:6" x14ac:dyDescent="0.3">
      <c r="A57" s="27" t="s">
        <v>98</v>
      </c>
      <c r="B57" s="24"/>
      <c r="C57" s="24"/>
      <c r="D57" s="3">
        <v>15</v>
      </c>
      <c r="E57" s="9"/>
      <c r="F57" s="9"/>
    </row>
    <row r="58" spans="1:6" x14ac:dyDescent="0.3">
      <c r="A58" s="2"/>
      <c r="B58" s="4" t="s">
        <v>99</v>
      </c>
      <c r="C58" s="5" t="s">
        <v>100</v>
      </c>
      <c r="D58" s="6">
        <v>2</v>
      </c>
      <c r="E58" s="6"/>
      <c r="F58" s="2"/>
    </row>
    <row r="59" spans="1:6" x14ac:dyDescent="0.3">
      <c r="A59" s="2"/>
      <c r="B59" s="4" t="s">
        <v>101</v>
      </c>
      <c r="C59" s="5" t="s">
        <v>102</v>
      </c>
      <c r="D59" s="6">
        <v>2</v>
      </c>
      <c r="E59" s="6"/>
      <c r="F59" s="2"/>
    </row>
    <row r="60" spans="1:6" x14ac:dyDescent="0.3">
      <c r="A60" s="2"/>
      <c r="B60" s="4" t="s">
        <v>103</v>
      </c>
      <c r="C60" s="5" t="s">
        <v>104</v>
      </c>
      <c r="D60" s="6">
        <v>1</v>
      </c>
      <c r="E60" s="6"/>
      <c r="F60" s="2"/>
    </row>
    <row r="61" spans="1:6" x14ac:dyDescent="0.3">
      <c r="A61" s="2"/>
      <c r="B61" s="4" t="s">
        <v>105</v>
      </c>
      <c r="C61" s="5" t="s">
        <v>106</v>
      </c>
      <c r="D61" s="6">
        <v>2</v>
      </c>
      <c r="E61" s="6"/>
      <c r="F61" s="2"/>
    </row>
    <row r="62" spans="1:6" x14ac:dyDescent="0.3">
      <c r="A62" s="2"/>
      <c r="B62" s="4" t="s">
        <v>107</v>
      </c>
      <c r="C62" s="5" t="s">
        <v>108</v>
      </c>
      <c r="D62" s="6">
        <v>3</v>
      </c>
      <c r="E62" s="6"/>
      <c r="F62" s="2"/>
    </row>
    <row r="63" spans="1:6" ht="28.8" x14ac:dyDescent="0.3">
      <c r="A63" s="2"/>
      <c r="B63" s="4" t="s">
        <v>109</v>
      </c>
      <c r="C63" s="5" t="s">
        <v>110</v>
      </c>
      <c r="D63" s="6">
        <v>2</v>
      </c>
      <c r="E63" s="6"/>
      <c r="F63" s="2"/>
    </row>
    <row r="64" spans="1:6" x14ac:dyDescent="0.3">
      <c r="A64" s="2"/>
      <c r="B64" s="4" t="s">
        <v>111</v>
      </c>
      <c r="C64" s="5" t="s">
        <v>112</v>
      </c>
      <c r="D64" s="6">
        <v>2</v>
      </c>
      <c r="E64" s="6"/>
      <c r="F64" s="2"/>
    </row>
    <row r="65" spans="1:6" x14ac:dyDescent="0.3">
      <c r="A65" s="2"/>
      <c r="B65" s="4" t="s">
        <v>113</v>
      </c>
      <c r="C65" s="5" t="s">
        <v>114</v>
      </c>
      <c r="D65" s="6">
        <v>1</v>
      </c>
      <c r="E65" s="6"/>
      <c r="F65" s="2"/>
    </row>
    <row r="66" spans="1:6" x14ac:dyDescent="0.3">
      <c r="A66" s="25" t="s">
        <v>149</v>
      </c>
      <c r="B66" s="24"/>
      <c r="C66" s="24"/>
      <c r="D66" s="7">
        <v>15</v>
      </c>
      <c r="E66" s="7">
        <f t="shared" ref="E66" si="7">SUM(E58:E65)</f>
        <v>0</v>
      </c>
      <c r="F66" s="10"/>
    </row>
    <row r="67" spans="1:6" x14ac:dyDescent="0.3">
      <c r="A67" s="27" t="s">
        <v>116</v>
      </c>
      <c r="B67" s="24"/>
      <c r="C67" s="24"/>
      <c r="D67" s="3">
        <v>8</v>
      </c>
      <c r="E67" s="9"/>
      <c r="F67" s="9"/>
    </row>
    <row r="68" spans="1:6" ht="28.8" x14ac:dyDescent="0.3">
      <c r="A68" s="2"/>
      <c r="B68" s="4" t="s">
        <v>117</v>
      </c>
      <c r="C68" s="5" t="s">
        <v>118</v>
      </c>
      <c r="D68" s="6">
        <v>2</v>
      </c>
      <c r="E68" s="6"/>
      <c r="F68" s="2"/>
    </row>
    <row r="69" spans="1:6" x14ac:dyDescent="0.3">
      <c r="A69" s="2"/>
      <c r="B69" s="4" t="s">
        <v>119</v>
      </c>
      <c r="C69" s="5" t="s">
        <v>120</v>
      </c>
      <c r="D69" s="6">
        <v>2</v>
      </c>
      <c r="E69" s="6"/>
      <c r="F69" s="2"/>
    </row>
    <row r="70" spans="1:6" x14ac:dyDescent="0.3">
      <c r="A70" s="2"/>
      <c r="B70" s="4" t="s">
        <v>121</v>
      </c>
      <c r="C70" s="5" t="s">
        <v>122</v>
      </c>
      <c r="D70" s="6">
        <v>2</v>
      </c>
      <c r="E70" s="6"/>
      <c r="F70" s="2"/>
    </row>
    <row r="71" spans="1:6" x14ac:dyDescent="0.3">
      <c r="A71" s="2"/>
      <c r="B71" s="4" t="s">
        <v>123</v>
      </c>
      <c r="C71" s="5" t="s">
        <v>124</v>
      </c>
      <c r="D71" s="6">
        <v>1</v>
      </c>
      <c r="E71" s="6"/>
      <c r="F71" s="2"/>
    </row>
    <row r="72" spans="1:6" x14ac:dyDescent="0.3">
      <c r="A72" s="2"/>
      <c r="B72" s="4" t="s">
        <v>125</v>
      </c>
      <c r="C72" s="5" t="s">
        <v>126</v>
      </c>
      <c r="D72" s="6">
        <v>1</v>
      </c>
      <c r="E72" s="6"/>
      <c r="F72" s="2"/>
    </row>
    <row r="73" spans="1:6" x14ac:dyDescent="0.3">
      <c r="A73" s="25" t="s">
        <v>150</v>
      </c>
      <c r="B73" s="24"/>
      <c r="C73" s="24"/>
      <c r="D73" s="7">
        <v>8</v>
      </c>
      <c r="E73" s="7">
        <f t="shared" ref="E73" si="8">SUM(E68:E72)</f>
        <v>0</v>
      </c>
      <c r="F73" s="10"/>
    </row>
    <row r="74" spans="1:6" x14ac:dyDescent="0.3">
      <c r="A74" s="27" t="s">
        <v>128</v>
      </c>
      <c r="B74" s="24"/>
      <c r="C74" s="24"/>
      <c r="D74" s="3">
        <v>8</v>
      </c>
      <c r="E74" s="9"/>
      <c r="F74" s="9"/>
    </row>
    <row r="75" spans="1:6" x14ac:dyDescent="0.3">
      <c r="A75" s="2"/>
      <c r="B75" s="4" t="s">
        <v>129</v>
      </c>
      <c r="C75" s="5" t="s">
        <v>130</v>
      </c>
      <c r="D75" s="6">
        <v>2</v>
      </c>
      <c r="E75" s="6"/>
      <c r="F75" s="2"/>
    </row>
    <row r="76" spans="1:6" x14ac:dyDescent="0.3">
      <c r="A76" s="2"/>
      <c r="B76" s="4" t="s">
        <v>131</v>
      </c>
      <c r="C76" s="5" t="s">
        <v>132</v>
      </c>
      <c r="D76" s="6">
        <v>1</v>
      </c>
      <c r="E76" s="6"/>
      <c r="F76" s="2"/>
    </row>
    <row r="77" spans="1:6" x14ac:dyDescent="0.3">
      <c r="A77" s="2"/>
      <c r="B77" s="4" t="s">
        <v>133</v>
      </c>
      <c r="C77" s="5" t="s">
        <v>134</v>
      </c>
      <c r="D77" s="6">
        <v>2</v>
      </c>
      <c r="E77" s="6"/>
      <c r="F77" s="2"/>
    </row>
    <row r="78" spans="1:6" x14ac:dyDescent="0.3">
      <c r="A78" s="2"/>
      <c r="B78" s="4" t="s">
        <v>135</v>
      </c>
      <c r="C78" s="5" t="s">
        <v>136</v>
      </c>
      <c r="D78" s="6">
        <v>2</v>
      </c>
      <c r="E78" s="6"/>
      <c r="F78" s="2"/>
    </row>
    <row r="79" spans="1:6" x14ac:dyDescent="0.3">
      <c r="A79" s="2"/>
      <c r="B79" s="4" t="s">
        <v>137</v>
      </c>
      <c r="C79" s="5" t="s">
        <v>138</v>
      </c>
      <c r="D79" s="6">
        <v>1</v>
      </c>
      <c r="E79" s="6"/>
      <c r="F79" s="2"/>
    </row>
    <row r="80" spans="1:6" x14ac:dyDescent="0.3">
      <c r="A80" s="25" t="s">
        <v>151</v>
      </c>
      <c r="B80" s="24"/>
      <c r="C80" s="24"/>
      <c r="D80" s="7">
        <v>8</v>
      </c>
      <c r="E80" s="7">
        <f t="shared" ref="E80" si="9">SUM(E75:E79)</f>
        <v>0</v>
      </c>
      <c r="F80" s="10"/>
    </row>
    <row r="82" spans="1:6" ht="15.6" x14ac:dyDescent="0.3">
      <c r="A82" s="26" t="s">
        <v>152</v>
      </c>
      <c r="B82" s="24"/>
      <c r="C82" s="24"/>
      <c r="D82" s="8">
        <v>100</v>
      </c>
      <c r="E82" s="8">
        <f t="shared" ref="E82" si="10">E10+E18+E27+E34+E40+E49+E56+E66+E73+E80</f>
        <v>0</v>
      </c>
      <c r="F82" s="11"/>
    </row>
    <row r="83" spans="1:6" x14ac:dyDescent="0.3">
      <c r="A83" s="23" t="s">
        <v>153</v>
      </c>
      <c r="B83" s="24"/>
      <c r="C83" s="24"/>
      <c r="D83" s="12" t="s">
        <v>154</v>
      </c>
      <c r="E83" s="13">
        <f t="shared" ref="E83" si="11">E82/100</f>
        <v>0</v>
      </c>
      <c r="F83" s="14"/>
    </row>
  </sheetData>
  <mergeCells count="23">
    <mergeCell ref="A67:C67"/>
    <mergeCell ref="A18:C18"/>
    <mergeCell ref="A27:C27"/>
    <mergeCell ref="A56:C56"/>
    <mergeCell ref="A50:C50"/>
    <mergeCell ref="A57:C57"/>
    <mergeCell ref="A35:C35"/>
    <mergeCell ref="A1:F1"/>
    <mergeCell ref="A83:C83"/>
    <mergeCell ref="A73:C73"/>
    <mergeCell ref="A82:C82"/>
    <mergeCell ref="A11:C11"/>
    <mergeCell ref="A49:C49"/>
    <mergeCell ref="A4:C4"/>
    <mergeCell ref="A10:C10"/>
    <mergeCell ref="A28:C28"/>
    <mergeCell ref="A19:C19"/>
    <mergeCell ref="A40:C40"/>
    <mergeCell ref="A34:C34"/>
    <mergeCell ref="A41:C41"/>
    <mergeCell ref="A66:C66"/>
    <mergeCell ref="A80:C80"/>
    <mergeCell ref="A74:C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"/>
  <sheetViews>
    <sheetView workbookViewId="0">
      <pane xSplit="3" ySplit="4" topLeftCell="D5" activePane="bottomRight" state="frozen"/>
      <selection pane="topRight"/>
      <selection pane="bottomLeft"/>
      <selection pane="bottomRight" activeCell="C13" sqref="C13"/>
    </sheetView>
  </sheetViews>
  <sheetFormatPr defaultRowHeight="14.4" x14ac:dyDescent="0.3"/>
  <cols>
    <col min="1" max="1" width="7" customWidth="1"/>
    <col min="2" max="2" width="10" customWidth="1"/>
    <col min="3" max="3" width="26" customWidth="1"/>
    <col min="4" max="13" width="9" customWidth="1"/>
    <col min="14" max="14" width="11" customWidth="1"/>
    <col min="15" max="15" width="9" customWidth="1"/>
    <col min="16" max="16" width="8" customWidth="1"/>
  </cols>
  <sheetData>
    <row r="1" spans="1:16" ht="26.1" customHeight="1" x14ac:dyDescent="0.3">
      <c r="A1" s="21" t="s">
        <v>155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3" spans="1:16" x14ac:dyDescent="0.3">
      <c r="A3" s="1" t="s">
        <v>156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  <c r="G3" s="1" t="s">
        <v>162</v>
      </c>
      <c r="H3" s="1" t="s">
        <v>163</v>
      </c>
      <c r="I3" s="1" t="s">
        <v>164</v>
      </c>
      <c r="J3" s="1" t="s">
        <v>165</v>
      </c>
      <c r="K3" s="1" t="s">
        <v>166</v>
      </c>
      <c r="L3" s="1" t="s">
        <v>167</v>
      </c>
      <c r="M3" s="1" t="s">
        <v>168</v>
      </c>
      <c r="N3" s="1" t="s">
        <v>169</v>
      </c>
      <c r="O3" s="1" t="s">
        <v>170</v>
      </c>
      <c r="P3" s="1" t="s">
        <v>171</v>
      </c>
    </row>
    <row r="4" spans="1:16" x14ac:dyDescent="0.3">
      <c r="A4" s="2"/>
      <c r="B4" s="2"/>
      <c r="C4" s="15" t="s">
        <v>172</v>
      </c>
      <c r="D4" s="16">
        <v>8</v>
      </c>
      <c r="E4" s="16">
        <v>15</v>
      </c>
      <c r="F4" s="16">
        <v>10</v>
      </c>
      <c r="G4" s="16">
        <v>8</v>
      </c>
      <c r="H4" s="16">
        <v>8</v>
      </c>
      <c r="I4" s="16">
        <v>10</v>
      </c>
      <c r="J4" s="16">
        <v>10</v>
      </c>
      <c r="K4" s="16">
        <v>15</v>
      </c>
      <c r="L4" s="16">
        <v>8</v>
      </c>
      <c r="M4" s="16">
        <v>8</v>
      </c>
      <c r="N4" s="17">
        <v>100</v>
      </c>
      <c r="O4" s="2"/>
      <c r="P4" s="2"/>
    </row>
    <row r="5" spans="1:16" x14ac:dyDescent="0.3">
      <c r="A5" s="4" t="s">
        <v>173</v>
      </c>
      <c r="B5" s="29" t="s">
        <v>176</v>
      </c>
      <c r="C5" s="2"/>
      <c r="D5" s="6">
        <f>'Day1'!E10</f>
        <v>0</v>
      </c>
      <c r="E5" s="6">
        <f>'Day1'!E18</f>
        <v>0</v>
      </c>
      <c r="F5" s="6">
        <f>'Day1'!E27</f>
        <v>0</v>
      </c>
      <c r="G5" s="6">
        <f>'Day1'!E34</f>
        <v>0</v>
      </c>
      <c r="H5" s="6">
        <f>'Day1'!E40</f>
        <v>0</v>
      </c>
      <c r="I5" s="6">
        <f>'Day1'!E49</f>
        <v>0</v>
      </c>
      <c r="J5" s="6">
        <f>'Day1'!E56</f>
        <v>0</v>
      </c>
      <c r="K5" s="6">
        <f>'Day1'!E66</f>
        <v>0</v>
      </c>
      <c r="L5" s="6">
        <f>'Day1'!E73</f>
        <v>0</v>
      </c>
      <c r="M5" s="6">
        <f>'Day1'!E80</f>
        <v>0</v>
      </c>
      <c r="N5" s="19">
        <f t="shared" ref="N5" si="0">SUM(D5:M5)</f>
        <v>0</v>
      </c>
      <c r="O5" s="20">
        <f t="shared" ref="O5" si="1">N5/100</f>
        <v>0</v>
      </c>
      <c r="P5" s="18">
        <f>RANK(N5,$N$5:$N$5)</f>
        <v>1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MarkingScheme</vt:lpstr>
      <vt:lpstr>Day1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 Adamescu</cp:lastModifiedBy>
  <dcterms:created xsi:type="dcterms:W3CDTF">2026-05-14T09:13:15Z</dcterms:created>
  <dcterms:modified xsi:type="dcterms:W3CDTF">2026-06-23T13:13:44Z</dcterms:modified>
</cp:coreProperties>
</file>